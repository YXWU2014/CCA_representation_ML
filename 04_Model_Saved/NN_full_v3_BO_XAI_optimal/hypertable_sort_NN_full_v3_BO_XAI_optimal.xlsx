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ywu/Desktop/NN_full_v3_BO_XAI/"/>
    </mc:Choice>
  </mc:AlternateContent>
  <xr:revisionPtr revIDLastSave="0" documentId="13_ncr:1_{2D7BEF7F-C614-8149-9224-70C3F2C249B4}" xr6:coauthVersionLast="47" xr6:coauthVersionMax="47" xr10:uidLastSave="{00000000-0000-0000-0000-000000000000}"/>
  <bookViews>
    <workbookView xWindow="-34160" yWindow="500" windowWidth="3734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J2" i="1"/>
  <c r="K2" i="1"/>
  <c r="L2" i="1"/>
  <c r="M2" i="1"/>
  <c r="N2" i="1"/>
  <c r="O2" i="1"/>
  <c r="P2" i="1"/>
  <c r="Q2" i="1"/>
  <c r="R2" i="1"/>
  <c r="S2" i="1"/>
  <c r="T2" i="1"/>
  <c r="H2" i="1"/>
  <c r="T13" i="1"/>
  <c r="T12" i="1"/>
  <c r="S13" i="1"/>
  <c r="S12" i="1"/>
  <c r="R12" i="1"/>
  <c r="R13" i="1"/>
  <c r="Q13" i="1"/>
  <c r="Q12" i="1"/>
  <c r="P13" i="1"/>
  <c r="P12" i="1"/>
  <c r="O12" i="1"/>
  <c r="O13" i="1"/>
  <c r="N13" i="1"/>
  <c r="N12" i="1"/>
  <c r="I12" i="1"/>
  <c r="J12" i="1"/>
  <c r="K12" i="1"/>
  <c r="L12" i="1"/>
  <c r="M12" i="1"/>
  <c r="I13" i="1"/>
  <c r="J13" i="1"/>
  <c r="K13" i="1"/>
  <c r="L13" i="1"/>
  <c r="M13" i="1"/>
  <c r="H13" i="1"/>
  <c r="H12" i="1"/>
  <c r="G2" i="1"/>
  <c r="F2" i="1"/>
  <c r="E2" i="1"/>
  <c r="D2" i="1"/>
  <c r="C2" i="1"/>
  <c r="B2" i="1"/>
  <c r="A2" i="1"/>
</calcChain>
</file>

<file path=xl/sharedStrings.xml><?xml version="1.0" encoding="utf-8"?>
<sst xmlns="http://schemas.openxmlformats.org/spreadsheetml/2006/main" count="22" uniqueCount="22">
  <si>
    <t>score_r2_HC</t>
  </si>
  <si>
    <t>score_r2_HC_best</t>
  </si>
  <si>
    <t>score_loss_HC</t>
  </si>
  <si>
    <t>score_r2_H</t>
  </si>
  <si>
    <t>score_r2_C</t>
  </si>
  <si>
    <t>score_loss_H</t>
  </si>
  <si>
    <t>score_loss_C</t>
  </si>
  <si>
    <t>NNS_num_nodes</t>
  </si>
  <si>
    <t>NNS_num_layers</t>
  </si>
  <si>
    <t>NNH_num_nodes</t>
  </si>
  <si>
    <t>NNH_num_layers</t>
  </si>
  <si>
    <t>NNC_num_nodes</t>
  </si>
  <si>
    <t>NNC_num_layers</t>
  </si>
  <si>
    <t>NNS_dropout</t>
  </si>
  <si>
    <t>NNH_NNC_dropout</t>
  </si>
  <si>
    <t>loss_encoder</t>
  </si>
  <si>
    <t>learning_rate_H</t>
  </si>
  <si>
    <t>learning_rate_C</t>
  </si>
  <si>
    <t>batch_size_H</t>
  </si>
  <si>
    <t>N_epochs_local</t>
  </si>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</sst>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"/>
    <numFmt numFmtId="165" formatCode="0.00000"/>
    <numFmt numFmtId="166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1" applyBorder="1" applyAlignment="1">
      <alignment horizontal="center" vertical="top"/>
    </xf>
    <xf numFmtId="0" fontId="2" fillId="2" borderId="0" xfId="1"/>
    <xf numFmtId="0" fontId="1" fillId="0" borderId="0" xfId="0" applyFont="1" applyBorder="1" applyAlignment="1">
      <alignment horizontal="center" vertical="top"/>
    </xf>
    <xf numFmtId="0" fontId="2" fillId="2" borderId="0" xfId="1" applyBorder="1" applyAlignment="1">
      <alignment horizontal="center" vertical="top"/>
    </xf>
    <xf numFmtId="2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workbookViewId="0">
      <selection activeCell="Q26" sqref="Q26"/>
    </sheetView>
  </sheetViews>
  <sheetFormatPr baseColWidth="10" defaultColWidth="8.83203125" defaultRowHeight="16" x14ac:dyDescent="0.2"/>
  <cols>
    <col min="1" max="1" width="12.1640625" bestFit="1" customWidth="1"/>
    <col min="2" max="2" width="15" bestFit="1" customWidth="1"/>
    <col min="3" max="3" width="12.1640625" bestFit="1" customWidth="1"/>
    <col min="4" max="4" width="12.1640625" style="3" bestFit="1" customWidth="1"/>
    <col min="5" max="7" width="12.1640625" bestFit="1" customWidth="1"/>
    <col min="8" max="8" width="14.1640625" bestFit="1" customWidth="1"/>
    <col min="9" max="9" width="14" bestFit="1" customWidth="1"/>
    <col min="10" max="10" width="14.5" bestFit="1" customWidth="1"/>
    <col min="11" max="12" width="14.33203125" bestFit="1" customWidth="1"/>
    <col min="13" max="13" width="14.1640625" bestFit="1" customWidth="1"/>
    <col min="14" max="14" width="11.5" bestFit="1" customWidth="1"/>
    <col min="15" max="15" width="16" bestFit="1" customWidth="1"/>
    <col min="16" max="16" width="11.33203125" bestFit="1" customWidth="1"/>
    <col min="17" max="17" width="13.5" bestFit="1" customWidth="1"/>
    <col min="18" max="18" width="13.33203125" bestFit="1" customWidth="1"/>
    <col min="19" max="19" width="11.1640625" bestFit="1" customWidth="1"/>
    <col min="20" max="20" width="13.1640625" bestFit="1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" x14ac:dyDescent="0.2">
      <c r="A2" s="6">
        <f>AVERAGE(A5:A14)</f>
        <v>0.70318295161996758</v>
      </c>
      <c r="B2" s="6">
        <f t="shared" ref="B2:G2" si="0">AVERAGE(B5:B14)</f>
        <v>0.70318295161996758</v>
      </c>
      <c r="C2" s="6">
        <f t="shared" si="0"/>
        <v>0.29274603827959961</v>
      </c>
      <c r="D2" s="6">
        <f t="shared" si="0"/>
        <v>0.6586850672706589</v>
      </c>
      <c r="E2" s="6">
        <f t="shared" si="0"/>
        <v>0.74768083596927626</v>
      </c>
      <c r="F2" s="6">
        <f t="shared" si="0"/>
        <v>0.33810684643685818</v>
      </c>
      <c r="G2" s="6">
        <f t="shared" si="0"/>
        <v>0.24738523012234107</v>
      </c>
      <c r="H2" s="13">
        <f>H12</f>
        <v>90</v>
      </c>
      <c r="I2" s="13">
        <f t="shared" ref="I2:T2" si="1">I12</f>
        <v>2</v>
      </c>
      <c r="J2" s="13">
        <f t="shared" si="1"/>
        <v>47</v>
      </c>
      <c r="K2" s="13">
        <f t="shared" si="1"/>
        <v>2</v>
      </c>
      <c r="L2" s="13">
        <f t="shared" si="1"/>
        <v>51</v>
      </c>
      <c r="M2" s="13">
        <f t="shared" si="1"/>
        <v>5</v>
      </c>
      <c r="N2" s="6">
        <f t="shared" si="1"/>
        <v>9.9999999999999992E-2</v>
      </c>
      <c r="O2" s="6">
        <f t="shared" si="1"/>
        <v>9.9999999999999992E-2</v>
      </c>
      <c r="P2" s="13">
        <f t="shared" si="1"/>
        <v>0</v>
      </c>
      <c r="Q2" s="14">
        <f t="shared" si="1"/>
        <v>8.6388130403216407E-4</v>
      </c>
      <c r="R2" s="14">
        <f t="shared" si="1"/>
        <v>6.9720927106755595E-4</v>
      </c>
      <c r="S2" s="13">
        <f t="shared" si="1"/>
        <v>25</v>
      </c>
      <c r="T2" s="13">
        <f t="shared" si="1"/>
        <v>3</v>
      </c>
    </row>
    <row r="3" spans="1:20" ht="15" x14ac:dyDescent="0.2">
      <c r="A3" s="6"/>
      <c r="B3" s="6"/>
      <c r="C3" s="6"/>
      <c r="D3" s="6"/>
      <c r="E3" s="6"/>
      <c r="F3" s="6"/>
      <c r="G3" s="6"/>
      <c r="H3" s="7"/>
      <c r="I3" s="7"/>
      <c r="J3" s="7"/>
      <c r="K3" s="7"/>
      <c r="L3" s="7"/>
      <c r="M3" s="7"/>
      <c r="N3" s="7"/>
      <c r="O3" s="7"/>
      <c r="P3" s="7"/>
      <c r="Q3" s="8"/>
      <c r="R3" s="8"/>
      <c r="S3" s="7"/>
      <c r="T3" s="7"/>
    </row>
    <row r="4" spans="1:20" x14ac:dyDescent="0.2">
      <c r="A4" s="4"/>
      <c r="B4" s="4"/>
      <c r="C4" s="4"/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</row>
    <row r="5" spans="1:20" ht="15" x14ac:dyDescent="0.2">
      <c r="A5">
        <v>0.70527876130608302</v>
      </c>
      <c r="B5">
        <v>0.70527876130608302</v>
      </c>
      <c r="C5">
        <v>0.29017244403560949</v>
      </c>
      <c r="D5">
        <v>0.65320959518489008</v>
      </c>
      <c r="E5">
        <v>0.75734792742727608</v>
      </c>
      <c r="F5">
        <v>0.34305669739842409</v>
      </c>
      <c r="G5">
        <v>0.237288190672795</v>
      </c>
      <c r="H5">
        <v>64</v>
      </c>
      <c r="I5">
        <v>3</v>
      </c>
      <c r="J5">
        <v>32</v>
      </c>
      <c r="K5">
        <v>2</v>
      </c>
      <c r="L5">
        <v>51</v>
      </c>
      <c r="M5">
        <v>6</v>
      </c>
      <c r="N5">
        <v>0.1</v>
      </c>
      <c r="O5">
        <v>0.1</v>
      </c>
      <c r="P5">
        <v>0</v>
      </c>
      <c r="Q5">
        <v>1E-3</v>
      </c>
      <c r="R5">
        <v>1E-3</v>
      </c>
      <c r="S5">
        <v>32</v>
      </c>
      <c r="T5">
        <v>1</v>
      </c>
    </row>
    <row r="6" spans="1:20" ht="15" x14ac:dyDescent="0.2">
      <c r="A6">
        <v>0.69908089337581225</v>
      </c>
      <c r="B6">
        <v>0.69908089337581225</v>
      </c>
      <c r="C6">
        <v>0.29603932859996962</v>
      </c>
      <c r="D6">
        <v>0.65860059464735976</v>
      </c>
      <c r="E6">
        <v>0.73956119210426474</v>
      </c>
      <c r="F6">
        <v>0.33713940282662708</v>
      </c>
      <c r="G6">
        <v>0.254939254373312</v>
      </c>
      <c r="H6">
        <v>107</v>
      </c>
      <c r="I6">
        <v>2</v>
      </c>
      <c r="J6">
        <v>45</v>
      </c>
      <c r="K6">
        <v>2</v>
      </c>
      <c r="L6">
        <v>50</v>
      </c>
      <c r="M6">
        <v>4</v>
      </c>
      <c r="N6">
        <v>0.1</v>
      </c>
      <c r="O6">
        <v>0.1</v>
      </c>
      <c r="P6">
        <v>0</v>
      </c>
      <c r="Q6">
        <v>9.8506425357434329E-4</v>
      </c>
      <c r="R6">
        <v>6.6214500120138475E-4</v>
      </c>
      <c r="S6">
        <v>30</v>
      </c>
      <c r="T6">
        <v>2</v>
      </c>
    </row>
    <row r="7" spans="1:20" ht="15" x14ac:dyDescent="0.2">
      <c r="A7">
        <v>0.70707181477209657</v>
      </c>
      <c r="B7">
        <v>0.70707181477209657</v>
      </c>
      <c r="C7">
        <v>0.29054610120753449</v>
      </c>
      <c r="D7">
        <v>0.65675835720776776</v>
      </c>
      <c r="E7">
        <v>0.75738527233642561</v>
      </c>
      <c r="F7">
        <v>0.34153478840986889</v>
      </c>
      <c r="G7">
        <v>0.23955741400520009</v>
      </c>
      <c r="H7">
        <v>92</v>
      </c>
      <c r="I7">
        <v>2</v>
      </c>
      <c r="J7">
        <v>52</v>
      </c>
      <c r="K7">
        <v>2</v>
      </c>
      <c r="L7">
        <v>57</v>
      </c>
      <c r="M7">
        <v>4</v>
      </c>
      <c r="N7">
        <v>0.1</v>
      </c>
      <c r="O7">
        <v>0.1</v>
      </c>
      <c r="P7">
        <v>0</v>
      </c>
      <c r="Q7">
        <v>8.9155283406720462E-4</v>
      </c>
      <c r="R7">
        <v>5.32665541744614E-4</v>
      </c>
      <c r="S7">
        <v>26</v>
      </c>
      <c r="T7">
        <v>2</v>
      </c>
    </row>
    <row r="8" spans="1:20" ht="15" x14ac:dyDescent="0.2">
      <c r="A8">
        <v>0.70580385269143164</v>
      </c>
      <c r="B8">
        <v>0.70580385269143164</v>
      </c>
      <c r="C8">
        <v>0.29094591240088152</v>
      </c>
      <c r="D8">
        <v>0.65765738217954961</v>
      </c>
      <c r="E8">
        <v>0.75395032320331401</v>
      </c>
      <c r="F8">
        <v>0.33937901258468628</v>
      </c>
      <c r="G8">
        <v>0.2425128122170766</v>
      </c>
      <c r="H8">
        <v>85</v>
      </c>
      <c r="I8">
        <v>2</v>
      </c>
      <c r="J8">
        <v>50</v>
      </c>
      <c r="K8">
        <v>3</v>
      </c>
      <c r="L8">
        <v>61</v>
      </c>
      <c r="M8">
        <v>6</v>
      </c>
      <c r="N8">
        <v>0.1</v>
      </c>
      <c r="O8">
        <v>0.1</v>
      </c>
      <c r="P8">
        <v>0</v>
      </c>
      <c r="Q8">
        <v>7.6770578398449195E-4</v>
      </c>
      <c r="R8">
        <v>6.3070150072677537E-4</v>
      </c>
      <c r="S8">
        <v>19</v>
      </c>
      <c r="T8">
        <v>3</v>
      </c>
    </row>
    <row r="9" spans="1:20" ht="15" x14ac:dyDescent="0.2">
      <c r="A9">
        <v>0.7014107185051901</v>
      </c>
      <c r="B9">
        <v>0.7014107185051901</v>
      </c>
      <c r="C9">
        <v>0.2932471887518962</v>
      </c>
      <c r="D9">
        <v>0.66166849376304104</v>
      </c>
      <c r="E9">
        <v>0.74115294324733905</v>
      </c>
      <c r="F9">
        <v>0.33491672078768409</v>
      </c>
      <c r="G9">
        <v>0.25157765671610832</v>
      </c>
      <c r="H9">
        <v>72</v>
      </c>
      <c r="I9">
        <v>3</v>
      </c>
      <c r="J9">
        <v>42</v>
      </c>
      <c r="K9">
        <v>2</v>
      </c>
      <c r="L9">
        <v>53</v>
      </c>
      <c r="M9">
        <v>6</v>
      </c>
      <c r="N9">
        <v>0.1</v>
      </c>
      <c r="O9">
        <v>0.1</v>
      </c>
      <c r="P9">
        <v>0</v>
      </c>
      <c r="Q9">
        <v>9.6212932659340471E-4</v>
      </c>
      <c r="R9">
        <v>8.808168970315727E-4</v>
      </c>
      <c r="S9">
        <v>19</v>
      </c>
      <c r="T9">
        <v>4</v>
      </c>
    </row>
    <row r="10" spans="1:20" ht="15" x14ac:dyDescent="0.2">
      <c r="A10">
        <v>0.70045166906919176</v>
      </c>
      <c r="B10">
        <v>0.70045166906919176</v>
      </c>
      <c r="C10">
        <v>0.29552525468170637</v>
      </c>
      <c r="D10">
        <v>0.66421598064134513</v>
      </c>
      <c r="E10">
        <v>0.7366873574970384</v>
      </c>
      <c r="F10">
        <v>0.33261445661385852</v>
      </c>
      <c r="G10">
        <v>0.25843605274955428</v>
      </c>
      <c r="H10">
        <v>121</v>
      </c>
      <c r="I10">
        <v>2</v>
      </c>
      <c r="J10">
        <v>58</v>
      </c>
      <c r="K10">
        <v>2</v>
      </c>
      <c r="L10">
        <v>35</v>
      </c>
      <c r="M10">
        <v>4</v>
      </c>
      <c r="N10">
        <v>0.1</v>
      </c>
      <c r="O10">
        <v>0.1</v>
      </c>
      <c r="P10">
        <v>0</v>
      </c>
      <c r="Q10">
        <v>5.7683562597353943E-4</v>
      </c>
      <c r="R10">
        <v>4.7692668570098879E-4</v>
      </c>
      <c r="S10">
        <v>21</v>
      </c>
      <c r="T10">
        <v>3</v>
      </c>
    </row>
    <row r="12" spans="1:20" x14ac:dyDescent="0.2">
      <c r="G12" s="9" t="s">
        <v>20</v>
      </c>
      <c r="H12" s="10">
        <f>ROUND(AVERAGE(H5:H10),0)</f>
        <v>90</v>
      </c>
      <c r="I12" s="10">
        <f t="shared" ref="I12:M12" si="2">ROUND(AVERAGE(I5:I10),0)</f>
        <v>2</v>
      </c>
      <c r="J12" s="10">
        <f t="shared" si="2"/>
        <v>47</v>
      </c>
      <c r="K12" s="10">
        <f t="shared" si="2"/>
        <v>2</v>
      </c>
      <c r="L12" s="10">
        <f t="shared" si="2"/>
        <v>51</v>
      </c>
      <c r="M12" s="10">
        <f t="shared" si="2"/>
        <v>5</v>
      </c>
      <c r="N12" s="9">
        <f>AVERAGE(N5:N10)</f>
        <v>9.9999999999999992E-2</v>
      </c>
      <c r="O12" s="9">
        <f>AVERAGE(O5:O10)</f>
        <v>9.9999999999999992E-2</v>
      </c>
      <c r="P12" s="9">
        <f>AVERAGE(P5:P10)</f>
        <v>0</v>
      </c>
      <c r="Q12" s="11">
        <f>AVERAGE(Q5:Q10)</f>
        <v>8.6388130403216407E-4</v>
      </c>
      <c r="R12" s="11">
        <f>AVERAGE(R5:R10)</f>
        <v>6.9720927106755595E-4</v>
      </c>
      <c r="S12" s="9">
        <f>ROUND(AVERAGE(S5:S10),0)</f>
        <v>25</v>
      </c>
      <c r="T12" s="9">
        <f>ROUND(AVERAGE(T5:T10),0)</f>
        <v>3</v>
      </c>
    </row>
    <row r="13" spans="1:20" x14ac:dyDescent="0.2">
      <c r="G13" s="9" t="s">
        <v>21</v>
      </c>
      <c r="H13" s="12">
        <f>STDEV(H5:H10)</f>
        <v>21.34869238774748</v>
      </c>
      <c r="I13" s="12">
        <f t="shared" ref="I13:M13" si="3">STDEV(I5:I10)</f>
        <v>0.51639777949432275</v>
      </c>
      <c r="J13" s="12">
        <f t="shared" si="3"/>
        <v>9.0277350426338945</v>
      </c>
      <c r="K13" s="12">
        <f t="shared" si="3"/>
        <v>0.40824829046386274</v>
      </c>
      <c r="L13" s="12">
        <f t="shared" si="3"/>
        <v>8.9087971503826928</v>
      </c>
      <c r="M13" s="12">
        <f t="shared" si="3"/>
        <v>1.0954451150103321</v>
      </c>
      <c r="N13" s="12">
        <f>STDEV(N5:N10)</f>
        <v>1.5202354861220293E-17</v>
      </c>
      <c r="O13" s="12">
        <f>STDEV(O5:O10)</f>
        <v>1.5202354861220293E-17</v>
      </c>
      <c r="P13" s="12">
        <f>STDEV(P5:P10)</f>
        <v>0</v>
      </c>
      <c r="Q13" s="11">
        <f>STDEV(Q5:Q10)</f>
        <v>1.6448522493645224E-4</v>
      </c>
      <c r="R13" s="11">
        <f>STDEV(R5:R10)</f>
        <v>2.0329575925326791E-4</v>
      </c>
      <c r="S13" s="12">
        <f>STDEV(S5:S10)</f>
        <v>5.6833088953531288</v>
      </c>
      <c r="T13" s="12">
        <f>STDEV(T5:T10)</f>
        <v>1.0488088481701516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YUXIANG WU</cp:lastModifiedBy>
  <dcterms:created xsi:type="dcterms:W3CDTF">2023-11-17T23:10:06Z</dcterms:created>
  <dcterms:modified xsi:type="dcterms:W3CDTF">2023-11-20T17:38:19Z</dcterms:modified>
</cp:coreProperties>
</file>
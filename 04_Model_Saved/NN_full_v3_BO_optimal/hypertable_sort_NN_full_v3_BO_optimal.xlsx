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wu/Desktop/NN_full_v3_BO_optimal/"/>
    </mc:Choice>
  </mc:AlternateContent>
  <xr:revisionPtr revIDLastSave="0" documentId="13_ncr:1_{EE33D0BD-E750-A841-9F13-5AF381CD8DD1}" xr6:coauthVersionLast="47" xr6:coauthVersionMax="47" xr10:uidLastSave="{00000000-0000-0000-0000-000000000000}"/>
  <bookViews>
    <workbookView xWindow="0" yWindow="500" windowWidth="3736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N17" i="1"/>
  <c r="O17" i="1"/>
  <c r="P17" i="1"/>
  <c r="T17" i="1"/>
  <c r="S17" i="1"/>
  <c r="R17" i="1"/>
  <c r="Q17" i="1"/>
  <c r="M17" i="1"/>
  <c r="L17" i="1"/>
  <c r="K17" i="1"/>
  <c r="J17" i="1"/>
  <c r="I17" i="1"/>
  <c r="H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</calcChain>
</file>

<file path=xl/sharedStrings.xml><?xml version="1.0" encoding="utf-8"?>
<sst xmlns="http://schemas.openxmlformats.org/spreadsheetml/2006/main" count="22" uniqueCount="22">
  <si>
    <t>score_r2_HC</t>
  </si>
  <si>
    <t>score_r2_HC_best</t>
  </si>
  <si>
    <t>score_loss_HC</t>
  </si>
  <si>
    <t>score_r2_H</t>
  </si>
  <si>
    <t>score_r2_C</t>
  </si>
  <si>
    <t>score_loss_H</t>
  </si>
  <si>
    <t>score_loss_C</t>
  </si>
  <si>
    <t>NNS_num_nodes</t>
  </si>
  <si>
    <t>NNS_num_layers</t>
  </si>
  <si>
    <t>NNH_num_nodes</t>
  </si>
  <si>
    <t>NNH_num_layers</t>
  </si>
  <si>
    <t>NNC_num_nodes</t>
  </si>
  <si>
    <t>NNC_num_layers</t>
  </si>
  <si>
    <t>NNS_dropout</t>
  </si>
  <si>
    <t>NNH_NNC_dropout</t>
  </si>
  <si>
    <t>loss_encoder</t>
  </si>
  <si>
    <t>learning_rate_H</t>
  </si>
  <si>
    <t>learning_rate_C</t>
  </si>
  <si>
    <t>batch_size_H</t>
  </si>
  <si>
    <t>N_epochs_local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</si>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</sst>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70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0" fontId="1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V13" sqref="V13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7" width="12.6640625" bestFit="1" customWidth="1"/>
    <col min="8" max="8" width="14.1640625" bestFit="1" customWidth="1"/>
    <col min="9" max="9" width="14" bestFit="1" customWidth="1"/>
    <col min="10" max="10" width="14.5" bestFit="1" customWidth="1"/>
    <col min="11" max="12" width="14.33203125" bestFit="1" customWidth="1"/>
    <col min="13" max="13" width="14.1640625" bestFit="1" customWidth="1"/>
    <col min="14" max="14" width="12.1640625" bestFit="1" customWidth="1"/>
    <col min="15" max="15" width="16" bestFit="1" customWidth="1"/>
    <col min="16" max="16" width="11.33203125" bestFit="1" customWidth="1"/>
    <col min="17" max="17" width="13.5" bestFit="1" customWidth="1"/>
    <col min="18" max="18" width="13.33203125" bestFit="1" customWidth="1"/>
    <col min="19" max="19" width="11.1640625" bestFit="1" customWidth="1"/>
    <col min="20" max="20" width="13.1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f>AVERAGE(A5:A14)</f>
        <v>0.73661588665271804</v>
      </c>
      <c r="B2" s="2">
        <f t="shared" ref="B2:G2" si="0">AVERAGE(B5:B14)</f>
        <v>0.73661588665271804</v>
      </c>
      <c r="C2" s="2">
        <f t="shared" si="0"/>
        <v>0.2977137808414797</v>
      </c>
      <c r="D2" s="2">
        <f t="shared" si="0"/>
        <v>0.71089124766366574</v>
      </c>
      <c r="E2" s="2">
        <f t="shared" si="0"/>
        <v>0.76234052564177024</v>
      </c>
      <c r="F2" s="2">
        <f t="shared" si="0"/>
        <v>0.32261573307712876</v>
      </c>
      <c r="G2" s="2">
        <f t="shared" si="0"/>
        <v>0.2728118286058307</v>
      </c>
      <c r="H2" s="3">
        <f>H16</f>
        <v>100</v>
      </c>
      <c r="I2" s="3">
        <f t="shared" ref="I2:T2" si="1">I16</f>
        <v>1</v>
      </c>
      <c r="J2" s="3">
        <f t="shared" si="1"/>
        <v>51</v>
      </c>
      <c r="K2" s="3">
        <f t="shared" si="1"/>
        <v>5</v>
      </c>
      <c r="L2" s="3">
        <f t="shared" si="1"/>
        <v>60</v>
      </c>
      <c r="M2" s="3">
        <f t="shared" si="1"/>
        <v>3</v>
      </c>
      <c r="N2" s="3">
        <f t="shared" si="1"/>
        <v>9.9999999999999992E-2</v>
      </c>
      <c r="O2" s="3">
        <f t="shared" si="1"/>
        <v>9.9999999999999992E-2</v>
      </c>
      <c r="P2" s="3">
        <f t="shared" si="1"/>
        <v>0</v>
      </c>
      <c r="Q2" s="4">
        <f t="shared" si="1"/>
        <v>8.3371974429571048E-4</v>
      </c>
      <c r="R2" s="4">
        <f t="shared" si="1"/>
        <v>7.3416821474725415E-4</v>
      </c>
      <c r="S2" s="3">
        <f t="shared" si="1"/>
        <v>28</v>
      </c>
      <c r="T2" s="3">
        <f t="shared" si="1"/>
        <v>3</v>
      </c>
    </row>
    <row r="3" spans="1:20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6"/>
      <c r="T3" s="6"/>
    </row>
    <row r="4" spans="1:20" x14ac:dyDescent="0.2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6"/>
      <c r="T4" s="6"/>
    </row>
    <row r="5" spans="1:20" x14ac:dyDescent="0.2">
      <c r="A5" s="12">
        <v>0.74122151005911208</v>
      </c>
      <c r="B5" s="12">
        <v>0.74122151005911208</v>
      </c>
      <c r="C5" s="12">
        <v>0.28299584855635962</v>
      </c>
      <c r="D5" s="12">
        <v>0.71587113752716858</v>
      </c>
      <c r="E5" s="12">
        <v>0.76657188259105513</v>
      </c>
      <c r="F5" s="12">
        <v>0.30846137255430223</v>
      </c>
      <c r="G5" s="12">
        <v>0.25753032455841701</v>
      </c>
      <c r="H5" s="8">
        <v>128</v>
      </c>
      <c r="I5" s="8">
        <v>1</v>
      </c>
      <c r="J5" s="8">
        <v>49</v>
      </c>
      <c r="K5" s="8">
        <v>2</v>
      </c>
      <c r="L5" s="8">
        <v>64</v>
      </c>
      <c r="M5" s="8">
        <v>2</v>
      </c>
      <c r="N5" s="8">
        <v>0.1</v>
      </c>
      <c r="O5" s="8">
        <v>0.1</v>
      </c>
      <c r="P5" s="8">
        <v>0</v>
      </c>
      <c r="Q5" s="13">
        <v>1E-3</v>
      </c>
      <c r="R5" s="13">
        <v>1E-3</v>
      </c>
      <c r="S5" s="8">
        <v>32</v>
      </c>
      <c r="T5" s="8">
        <v>1</v>
      </c>
    </row>
    <row r="6" spans="1:20" x14ac:dyDescent="0.2">
      <c r="A6" s="12">
        <v>0.73701442796581595</v>
      </c>
      <c r="B6" s="12">
        <v>0.73701442796581595</v>
      </c>
      <c r="C6" s="12">
        <v>0.299674490566055</v>
      </c>
      <c r="D6" s="12">
        <v>0.71202789342868</v>
      </c>
      <c r="E6" s="12">
        <v>0.76200096250295213</v>
      </c>
      <c r="F6" s="12">
        <v>0.32329667215545971</v>
      </c>
      <c r="G6" s="12">
        <v>0.27605230897665017</v>
      </c>
      <c r="H6" s="8">
        <v>93</v>
      </c>
      <c r="I6" s="8">
        <v>1</v>
      </c>
      <c r="J6" s="8">
        <v>57</v>
      </c>
      <c r="K6" s="8">
        <v>6</v>
      </c>
      <c r="L6" s="8">
        <v>64</v>
      </c>
      <c r="M6" s="8">
        <v>6</v>
      </c>
      <c r="N6" s="8">
        <v>0.1</v>
      </c>
      <c r="O6" s="8">
        <v>0.1</v>
      </c>
      <c r="P6" s="8">
        <v>0</v>
      </c>
      <c r="Q6" s="13">
        <v>1E-3</v>
      </c>
      <c r="R6" s="13">
        <v>1E-3</v>
      </c>
      <c r="S6" s="8">
        <v>31</v>
      </c>
      <c r="T6" s="8">
        <v>1</v>
      </c>
    </row>
    <row r="7" spans="1:20" x14ac:dyDescent="0.2">
      <c r="A7" s="12">
        <v>0.73063607526980701</v>
      </c>
      <c r="B7" s="12">
        <v>0.73063607526980701</v>
      </c>
      <c r="C7" s="12">
        <v>0.31922953190902859</v>
      </c>
      <c r="D7" s="12">
        <v>0.71056826186984046</v>
      </c>
      <c r="E7" s="12">
        <v>0.75070388866977356</v>
      </c>
      <c r="F7" s="12">
        <v>0.32006561609605949</v>
      </c>
      <c r="G7" s="12">
        <v>0.3183934477219979</v>
      </c>
      <c r="H7" s="8">
        <v>106</v>
      </c>
      <c r="I7" s="8">
        <v>1</v>
      </c>
      <c r="J7" s="8">
        <v>40</v>
      </c>
      <c r="K7" s="8">
        <v>6</v>
      </c>
      <c r="L7" s="8">
        <v>60</v>
      </c>
      <c r="M7" s="8">
        <v>6</v>
      </c>
      <c r="N7" s="8">
        <v>0.1</v>
      </c>
      <c r="O7" s="8">
        <v>0.1</v>
      </c>
      <c r="P7" s="8">
        <v>0</v>
      </c>
      <c r="Q7" s="13">
        <v>1E-3</v>
      </c>
      <c r="R7" s="13">
        <v>1E-4</v>
      </c>
      <c r="S7" s="8">
        <v>32</v>
      </c>
      <c r="T7" s="8">
        <v>4</v>
      </c>
    </row>
    <row r="8" spans="1:20" x14ac:dyDescent="0.2">
      <c r="A8" s="12">
        <v>0.73378639400451728</v>
      </c>
      <c r="B8" s="12">
        <v>0.73378639400451728</v>
      </c>
      <c r="C8" s="12">
        <v>0.29517959707727037</v>
      </c>
      <c r="D8" s="12">
        <v>0.70586682570697923</v>
      </c>
      <c r="E8" s="12">
        <v>0.76170596230205534</v>
      </c>
      <c r="F8" s="12">
        <v>0.32683574520051478</v>
      </c>
      <c r="G8" s="12">
        <v>0.26352344895402591</v>
      </c>
      <c r="H8" s="8">
        <v>108</v>
      </c>
      <c r="I8" s="8">
        <v>1</v>
      </c>
      <c r="J8" s="8">
        <v>64</v>
      </c>
      <c r="K8" s="8">
        <v>6</v>
      </c>
      <c r="L8" s="8">
        <v>60</v>
      </c>
      <c r="M8" s="8">
        <v>2</v>
      </c>
      <c r="N8" s="8">
        <v>0.1</v>
      </c>
      <c r="O8" s="8">
        <v>0.1</v>
      </c>
      <c r="P8" s="8">
        <v>0</v>
      </c>
      <c r="Q8" s="13">
        <v>1E-3</v>
      </c>
      <c r="R8" s="13">
        <v>1E-3</v>
      </c>
      <c r="S8" s="8">
        <v>16</v>
      </c>
      <c r="T8" s="8">
        <v>1</v>
      </c>
    </row>
    <row r="9" spans="1:20" x14ac:dyDescent="0.2">
      <c r="A9" s="12">
        <v>0.73852742034557595</v>
      </c>
      <c r="B9" s="12">
        <v>0.73852742034557595</v>
      </c>
      <c r="C9" s="12">
        <v>0.29127959610273441</v>
      </c>
      <c r="D9" s="12">
        <v>0.70953858093521527</v>
      </c>
      <c r="E9" s="12">
        <v>0.7675162597559364</v>
      </c>
      <c r="F9" s="12">
        <v>0.32708052118619291</v>
      </c>
      <c r="G9" s="12">
        <v>0.25547867101927602</v>
      </c>
      <c r="H9" s="8">
        <v>104</v>
      </c>
      <c r="I9" s="8">
        <v>1</v>
      </c>
      <c r="J9" s="8">
        <v>40</v>
      </c>
      <c r="K9" s="8">
        <v>6</v>
      </c>
      <c r="L9" s="8">
        <v>64</v>
      </c>
      <c r="M9" s="8">
        <v>2</v>
      </c>
      <c r="N9" s="8">
        <v>0.1</v>
      </c>
      <c r="O9" s="8">
        <v>0.1</v>
      </c>
      <c r="P9" s="8">
        <v>0</v>
      </c>
      <c r="Q9" s="13">
        <v>1E-3</v>
      </c>
      <c r="R9" s="13">
        <v>1E-3</v>
      </c>
      <c r="S9" s="8">
        <v>28</v>
      </c>
      <c r="T9" s="8">
        <v>1</v>
      </c>
    </row>
    <row r="10" spans="1:20" x14ac:dyDescent="0.2">
      <c r="A10" s="12">
        <v>0.74030613325479599</v>
      </c>
      <c r="B10" s="12">
        <v>0.74030613325479599</v>
      </c>
      <c r="C10" s="12">
        <v>0.29337668492148322</v>
      </c>
      <c r="D10" s="12">
        <v>0.71883331576478093</v>
      </c>
      <c r="E10" s="12">
        <v>0.76177895074481106</v>
      </c>
      <c r="F10" s="12">
        <v>0.30974029682576659</v>
      </c>
      <c r="G10" s="12">
        <v>0.27701307301719991</v>
      </c>
      <c r="H10" s="8">
        <v>118</v>
      </c>
      <c r="I10" s="8">
        <v>1</v>
      </c>
      <c r="J10" s="8">
        <v>56</v>
      </c>
      <c r="K10" s="8">
        <v>2</v>
      </c>
      <c r="L10" s="8">
        <v>40</v>
      </c>
      <c r="M10" s="8">
        <v>4</v>
      </c>
      <c r="N10" s="8">
        <v>0.1</v>
      </c>
      <c r="O10" s="8">
        <v>0.1</v>
      </c>
      <c r="P10" s="8">
        <v>0</v>
      </c>
      <c r="Q10" s="13">
        <v>5.7328110994244558E-4</v>
      </c>
      <c r="R10" s="13">
        <v>5.7851077034958129E-4</v>
      </c>
      <c r="S10" s="8">
        <v>27</v>
      </c>
      <c r="T10" s="8">
        <v>2</v>
      </c>
    </row>
    <row r="11" spans="1:20" x14ac:dyDescent="0.2">
      <c r="A11" s="12">
        <v>0.7349132198640681</v>
      </c>
      <c r="B11" s="12">
        <v>0.7349132198640681</v>
      </c>
      <c r="C11" s="12">
        <v>0.30329861875623471</v>
      </c>
      <c r="D11" s="12">
        <v>0.70547182439782474</v>
      </c>
      <c r="E11" s="12">
        <v>0.76435461533031168</v>
      </c>
      <c r="F11" s="12">
        <v>0.33534563759962721</v>
      </c>
      <c r="G11" s="12">
        <v>0.27125159991284209</v>
      </c>
      <c r="H11" s="8">
        <v>67</v>
      </c>
      <c r="I11" s="8">
        <v>2</v>
      </c>
      <c r="J11" s="8">
        <v>46</v>
      </c>
      <c r="K11" s="8">
        <v>5</v>
      </c>
      <c r="L11" s="8">
        <v>64</v>
      </c>
      <c r="M11" s="8">
        <v>3</v>
      </c>
      <c r="N11" s="8">
        <v>0.1</v>
      </c>
      <c r="O11" s="8">
        <v>0.1</v>
      </c>
      <c r="P11" s="8">
        <v>0</v>
      </c>
      <c r="Q11" s="13">
        <v>5.8736879295480718E-4</v>
      </c>
      <c r="R11" s="13">
        <v>5.6317137712296112E-4</v>
      </c>
      <c r="S11" s="8">
        <v>26</v>
      </c>
      <c r="T11" s="8">
        <v>4</v>
      </c>
    </row>
    <row r="12" spans="1:20" x14ac:dyDescent="0.2">
      <c r="A12" s="12">
        <v>0.73818621062442169</v>
      </c>
      <c r="B12" s="12">
        <v>0.73818621062442169</v>
      </c>
      <c r="C12" s="12">
        <v>0.29170588534325359</v>
      </c>
      <c r="D12" s="12">
        <v>0.70804228860524965</v>
      </c>
      <c r="E12" s="12">
        <v>0.76833013264359407</v>
      </c>
      <c r="F12" s="12">
        <v>0.32604324219127501</v>
      </c>
      <c r="G12" s="12">
        <v>0.25736852849523217</v>
      </c>
      <c r="H12" s="8">
        <v>96</v>
      </c>
      <c r="I12" s="8">
        <v>1</v>
      </c>
      <c r="J12" s="8">
        <v>41</v>
      </c>
      <c r="K12" s="8">
        <v>6</v>
      </c>
      <c r="L12" s="8">
        <v>58</v>
      </c>
      <c r="M12" s="8">
        <v>2</v>
      </c>
      <c r="N12" s="8">
        <v>0.1</v>
      </c>
      <c r="O12" s="8">
        <v>0.1</v>
      </c>
      <c r="P12" s="8">
        <v>0</v>
      </c>
      <c r="Q12" s="13">
        <v>1E-3</v>
      </c>
      <c r="R12" s="13">
        <v>1E-3</v>
      </c>
      <c r="S12" s="8">
        <v>28</v>
      </c>
      <c r="T12" s="8">
        <v>4</v>
      </c>
    </row>
    <row r="13" spans="1:20" x14ac:dyDescent="0.2">
      <c r="A13" s="12">
        <v>0.73855986497391635</v>
      </c>
      <c r="B13" s="12">
        <v>0.73855986497391635</v>
      </c>
      <c r="C13" s="12">
        <v>0.29268046665936709</v>
      </c>
      <c r="D13" s="12">
        <v>0.71126740721196713</v>
      </c>
      <c r="E13" s="12">
        <v>0.76585232273586534</v>
      </c>
      <c r="F13" s="12">
        <v>0.32317975079019862</v>
      </c>
      <c r="G13" s="12">
        <v>0.26218118252853562</v>
      </c>
      <c r="H13" s="8">
        <v>64</v>
      </c>
      <c r="I13" s="8">
        <v>1</v>
      </c>
      <c r="J13" s="8">
        <v>64</v>
      </c>
      <c r="K13" s="8">
        <v>6</v>
      </c>
      <c r="L13" s="8">
        <v>64</v>
      </c>
      <c r="M13" s="8">
        <v>2</v>
      </c>
      <c r="N13" s="8">
        <v>0.1</v>
      </c>
      <c r="O13" s="8">
        <v>0.1</v>
      </c>
      <c r="P13" s="8">
        <v>0</v>
      </c>
      <c r="Q13" s="13">
        <v>1E-3</v>
      </c>
      <c r="R13" s="13">
        <v>1E-3</v>
      </c>
      <c r="S13" s="8">
        <v>32</v>
      </c>
      <c r="T13" s="8">
        <v>4</v>
      </c>
    </row>
    <row r="14" spans="1:20" x14ac:dyDescent="0.2">
      <c r="A14" s="12">
        <v>0.73300761016514981</v>
      </c>
      <c r="B14" s="12">
        <v>0.73300761016514981</v>
      </c>
      <c r="C14" s="12">
        <v>0.30771708852301038</v>
      </c>
      <c r="D14" s="12">
        <v>0.71142494118895172</v>
      </c>
      <c r="E14" s="12">
        <v>0.75459027914134802</v>
      </c>
      <c r="F14" s="12">
        <v>0.32610847617189093</v>
      </c>
      <c r="G14" s="12">
        <v>0.28932570087413001</v>
      </c>
      <c r="H14" s="8">
        <v>116</v>
      </c>
      <c r="I14" s="8">
        <v>3</v>
      </c>
      <c r="J14" s="8">
        <v>51</v>
      </c>
      <c r="K14" s="8">
        <v>2</v>
      </c>
      <c r="L14" s="8">
        <v>64</v>
      </c>
      <c r="M14" s="8">
        <v>3</v>
      </c>
      <c r="N14" s="8">
        <v>0.1</v>
      </c>
      <c r="O14" s="8">
        <v>0.1</v>
      </c>
      <c r="P14" s="8">
        <v>0</v>
      </c>
      <c r="Q14" s="13">
        <v>1.765475400598511E-4</v>
      </c>
      <c r="R14" s="13">
        <v>1E-4</v>
      </c>
      <c r="S14" s="8">
        <v>32</v>
      </c>
      <c r="T14" s="8">
        <v>4</v>
      </c>
    </row>
    <row r="15" spans="1:20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2">
      <c r="A16" s="8"/>
      <c r="B16" s="8"/>
      <c r="C16" s="8"/>
      <c r="D16" s="8"/>
      <c r="E16" s="8"/>
      <c r="F16" s="8"/>
      <c r="G16" s="8" t="s">
        <v>20</v>
      </c>
      <c r="H16" s="9">
        <f>ROUND(AVERAGE(H5:H14),0)</f>
        <v>100</v>
      </c>
      <c r="I16" s="8">
        <f t="shared" ref="I16:M16" si="2">ROUND(AVERAGE(I5:I14),0)</f>
        <v>1</v>
      </c>
      <c r="J16" s="8">
        <f t="shared" si="2"/>
        <v>51</v>
      </c>
      <c r="K16" s="8">
        <f t="shared" si="2"/>
        <v>5</v>
      </c>
      <c r="L16" s="8">
        <f t="shared" si="2"/>
        <v>60</v>
      </c>
      <c r="M16" s="8">
        <f t="shared" si="2"/>
        <v>3</v>
      </c>
      <c r="N16" s="8">
        <f t="shared" ref="N16:R16" si="3">AVERAGE(N5:N14)</f>
        <v>9.9999999999999992E-2</v>
      </c>
      <c r="O16" s="8">
        <f t="shared" si="3"/>
        <v>9.9999999999999992E-2</v>
      </c>
      <c r="P16" s="8">
        <f t="shared" si="3"/>
        <v>0</v>
      </c>
      <c r="Q16" s="10">
        <f t="shared" si="3"/>
        <v>8.3371974429571048E-4</v>
      </c>
      <c r="R16" s="10">
        <f t="shared" si="3"/>
        <v>7.3416821474725415E-4</v>
      </c>
      <c r="S16" s="8">
        <f>ROUND(AVERAGE(S5:S14),0)</f>
        <v>28</v>
      </c>
      <c r="T16" s="8">
        <f>ROUND(AVERAGE(T5:T14),0)</f>
        <v>3</v>
      </c>
    </row>
    <row r="17" spans="1:20" x14ac:dyDescent="0.2">
      <c r="A17" s="8"/>
      <c r="B17" s="8"/>
      <c r="C17" s="8"/>
      <c r="D17" s="8"/>
      <c r="E17" s="8"/>
      <c r="F17" s="8"/>
      <c r="G17" s="8" t="s">
        <v>21</v>
      </c>
      <c r="H17" s="11">
        <f>STDEV(H5:H14)</f>
        <v>20.896570691543307</v>
      </c>
      <c r="I17" s="11">
        <f t="shared" ref="I17:T17" si="4">STDEV(I5:I14)</f>
        <v>0.67494855771055307</v>
      </c>
      <c r="J17" s="11">
        <f t="shared" si="4"/>
        <v>9.2472218050131652</v>
      </c>
      <c r="K17" s="11">
        <f t="shared" si="4"/>
        <v>1.8885620632287057</v>
      </c>
      <c r="L17" s="11">
        <f t="shared" si="4"/>
        <v>7.4505779045058613</v>
      </c>
      <c r="M17" s="11">
        <f t="shared" si="4"/>
        <v>1.6193277068654823</v>
      </c>
      <c r="N17" s="11">
        <f t="shared" si="4"/>
        <v>1.4628472785736255E-17</v>
      </c>
      <c r="O17" s="11">
        <f t="shared" si="4"/>
        <v>1.4628472785736255E-17</v>
      </c>
      <c r="P17" s="11">
        <f t="shared" si="4"/>
        <v>0</v>
      </c>
      <c r="Q17" s="10">
        <f t="shared" si="4"/>
        <v>2.8943167368140378E-4</v>
      </c>
      <c r="R17" s="10">
        <f t="shared" si="4"/>
        <v>3.773897242859067E-4</v>
      </c>
      <c r="S17" s="11">
        <f t="shared" si="4"/>
        <v>4.9486249493054988</v>
      </c>
      <c r="T17" s="11">
        <f t="shared" si="4"/>
        <v>1.5055453054181622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YUXIANG WU</cp:lastModifiedBy>
  <dcterms:created xsi:type="dcterms:W3CDTF">2023-11-17T11:00:30Z</dcterms:created>
  <dcterms:modified xsi:type="dcterms:W3CDTF">2023-11-18T10:17:18Z</dcterms:modified>
</cp:coreProperties>
</file>
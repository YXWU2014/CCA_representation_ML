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wu/Desktop/NN_full_v3_BO/"/>
    </mc:Choice>
  </mc:AlternateContent>
  <xr:revisionPtr revIDLastSave="0" documentId="13_ncr:1_{A31907DB-383D-8845-B3F5-1299D01CD437}" xr6:coauthVersionLast="47" xr6:coauthVersionMax="47" xr10:uidLastSave="{00000000-0000-0000-0000-000000000000}"/>
  <bookViews>
    <workbookView xWindow="8140" yWindow="1160" windowWidth="3736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L2" i="1"/>
  <c r="M2" i="1"/>
  <c r="N2" i="1"/>
  <c r="O2" i="1"/>
  <c r="P2" i="1"/>
  <c r="Q2" i="1"/>
  <c r="R2" i="1"/>
  <c r="S2" i="1"/>
  <c r="T2" i="1"/>
  <c r="H2" i="1"/>
  <c r="B2" i="1"/>
  <c r="C2" i="1"/>
  <c r="D2" i="1"/>
  <c r="E2" i="1"/>
  <c r="F2" i="1"/>
  <c r="G2" i="1"/>
  <c r="A2" i="1"/>
  <c r="T16" i="1"/>
  <c r="S16" i="1"/>
  <c r="I16" i="1"/>
  <c r="J16" i="1"/>
  <c r="K16" i="1"/>
  <c r="L16" i="1"/>
  <c r="M16" i="1"/>
  <c r="H16" i="1"/>
  <c r="I17" i="1"/>
  <c r="J17" i="1"/>
  <c r="K17" i="1"/>
  <c r="L17" i="1"/>
  <c r="M17" i="1"/>
  <c r="Q17" i="1"/>
  <c r="R17" i="1"/>
  <c r="S17" i="1"/>
  <c r="T17" i="1"/>
  <c r="H17" i="1"/>
  <c r="N16" i="1"/>
  <c r="O16" i="1"/>
  <c r="P16" i="1"/>
  <c r="Q16" i="1"/>
  <c r="R16" i="1"/>
</calcChain>
</file>

<file path=xl/sharedStrings.xml><?xml version="1.0" encoding="utf-8"?>
<sst xmlns="http://schemas.openxmlformats.org/spreadsheetml/2006/main" count="22" uniqueCount="22">
  <si>
    <t>score_r2_HC</t>
  </si>
  <si>
    <t>score_r2_HC_best</t>
  </si>
  <si>
    <t>score_loss_HC</t>
  </si>
  <si>
    <t>score_r2_H</t>
  </si>
  <si>
    <t>score_r2_C</t>
  </si>
  <si>
    <t>score_loss_H</t>
  </si>
  <si>
    <t>score_loss_C</t>
  </si>
  <si>
    <t>NNS_num_nodes</t>
  </si>
  <si>
    <t>NNS_num_layers</t>
  </si>
  <si>
    <t>NNH_num_nodes</t>
  </si>
  <si>
    <t>NNH_num_layers</t>
  </si>
  <si>
    <t>NNC_num_nodes</t>
  </si>
  <si>
    <t>NNC_num_layers</t>
  </si>
  <si>
    <t>NNS_dropout</t>
  </si>
  <si>
    <t>NNH_NNC_dropout</t>
  </si>
  <si>
    <t>loss_encoder</t>
  </si>
  <si>
    <t>learning_rate_H</t>
  </si>
  <si>
    <t>learning_rate_C</t>
  </si>
  <si>
    <t>batch_size_H</t>
  </si>
  <si>
    <t>N_epochs_local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</si>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</sst>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"/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68" fontId="1" fillId="0" borderId="0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Q23" sqref="M23:Q23"/>
    </sheetView>
  </sheetViews>
  <sheetFormatPr baseColWidth="10" defaultColWidth="8.83203125" defaultRowHeight="15" x14ac:dyDescent="0.2"/>
  <cols>
    <col min="1" max="20" width="13.5" style="4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f>AVERAGE(A5:A14)</f>
        <v>0.74233324252242039</v>
      </c>
      <c r="B2" s="2">
        <f t="shared" ref="B2:G2" si="0">AVERAGE(B5:B14)</f>
        <v>0.7423332425224205</v>
      </c>
      <c r="C2" s="2">
        <f t="shared" si="0"/>
        <v>0.2929949775064985</v>
      </c>
      <c r="D2" s="2">
        <f t="shared" si="0"/>
        <v>0.71367318498200916</v>
      </c>
      <c r="E2" s="2">
        <f t="shared" si="0"/>
        <v>0.77099330006283184</v>
      </c>
      <c r="F2" s="2">
        <f t="shared" si="0"/>
        <v>0.32122047991802294</v>
      </c>
      <c r="G2" s="2">
        <f t="shared" si="0"/>
        <v>0.26476947509497401</v>
      </c>
      <c r="H2" s="2">
        <f>H16</f>
        <v>90</v>
      </c>
      <c r="I2" s="2">
        <f t="shared" ref="I2:T2" si="1">I16</f>
        <v>2</v>
      </c>
      <c r="J2" s="2">
        <f t="shared" si="1"/>
        <v>50</v>
      </c>
      <c r="K2" s="2">
        <f t="shared" si="1"/>
        <v>3</v>
      </c>
      <c r="L2" s="2">
        <f t="shared" si="1"/>
        <v>57</v>
      </c>
      <c r="M2" s="2">
        <f t="shared" si="1"/>
        <v>3</v>
      </c>
      <c r="N2" s="2">
        <f t="shared" si="1"/>
        <v>9.9999999999999992E-2</v>
      </c>
      <c r="O2" s="2">
        <f t="shared" si="1"/>
        <v>9.9999999999999992E-2</v>
      </c>
      <c r="P2" s="2">
        <f t="shared" si="1"/>
        <v>0</v>
      </c>
      <c r="Q2" s="3">
        <f t="shared" si="1"/>
        <v>6.5322003441044686E-4</v>
      </c>
      <c r="R2" s="3">
        <f t="shared" si="1"/>
        <v>5.9418519488631683E-4</v>
      </c>
      <c r="S2" s="2">
        <f t="shared" si="1"/>
        <v>25</v>
      </c>
      <c r="T2" s="2">
        <f t="shared" si="1"/>
        <v>3</v>
      </c>
    </row>
    <row r="3" spans="1:2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2"/>
      <c r="T3" s="2"/>
    </row>
    <row r="4" spans="1:20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2"/>
      <c r="T4" s="2"/>
    </row>
    <row r="5" spans="1:20" x14ac:dyDescent="0.2">
      <c r="A5" s="4">
        <v>0.74122836210726462</v>
      </c>
      <c r="B5" s="4">
        <v>0.74122836210726462</v>
      </c>
      <c r="C5" s="4">
        <v>0.29179338306188579</v>
      </c>
      <c r="D5" s="4">
        <v>0.70703489578295697</v>
      </c>
      <c r="E5" s="4">
        <v>0.77542182843157226</v>
      </c>
      <c r="F5" s="4">
        <v>0.32785162021716441</v>
      </c>
      <c r="G5" s="4">
        <v>0.25573514590660729</v>
      </c>
      <c r="H5" s="4">
        <v>101</v>
      </c>
      <c r="I5" s="4">
        <v>2</v>
      </c>
      <c r="J5" s="4">
        <v>38</v>
      </c>
      <c r="K5" s="4">
        <v>3</v>
      </c>
      <c r="L5" s="4">
        <v>57</v>
      </c>
      <c r="M5" s="4">
        <v>3</v>
      </c>
      <c r="N5" s="4">
        <v>0.1</v>
      </c>
      <c r="O5" s="4">
        <v>0.1</v>
      </c>
      <c r="P5" s="4">
        <v>0</v>
      </c>
      <c r="Q5" s="5">
        <v>6.5094790903390211E-4</v>
      </c>
      <c r="R5" s="5">
        <v>7.1872165100775125E-4</v>
      </c>
      <c r="S5" s="4">
        <v>25</v>
      </c>
      <c r="T5" s="4">
        <v>4</v>
      </c>
    </row>
    <row r="6" spans="1:20" x14ac:dyDescent="0.2">
      <c r="A6" s="4">
        <v>0.74174777812129278</v>
      </c>
      <c r="B6" s="4">
        <v>0.74174777812129278</v>
      </c>
      <c r="C6" s="4">
        <v>0.29848479193945732</v>
      </c>
      <c r="D6" s="4">
        <v>0.71528208427858353</v>
      </c>
      <c r="E6" s="4">
        <v>0.76821347196400191</v>
      </c>
      <c r="F6" s="4">
        <v>0.31577025689184662</v>
      </c>
      <c r="G6" s="4">
        <v>0.2811993269870679</v>
      </c>
      <c r="H6" s="4">
        <v>113</v>
      </c>
      <c r="I6" s="4">
        <v>2</v>
      </c>
      <c r="J6" s="4">
        <v>57</v>
      </c>
      <c r="K6" s="4">
        <v>4</v>
      </c>
      <c r="L6" s="4">
        <v>53</v>
      </c>
      <c r="M6" s="4">
        <v>3</v>
      </c>
      <c r="N6" s="4">
        <v>0.1</v>
      </c>
      <c r="O6" s="4">
        <v>0.1</v>
      </c>
      <c r="P6" s="4">
        <v>0</v>
      </c>
      <c r="Q6" s="5">
        <v>5.1716598966548258E-4</v>
      </c>
      <c r="R6" s="5">
        <v>1.416223351123976E-4</v>
      </c>
      <c r="S6" s="4">
        <v>22</v>
      </c>
      <c r="T6" s="4">
        <v>4</v>
      </c>
    </row>
    <row r="7" spans="1:20" x14ac:dyDescent="0.2">
      <c r="A7" s="4">
        <v>0.7412138664024196</v>
      </c>
      <c r="B7" s="4">
        <v>0.7412138664024196</v>
      </c>
      <c r="C7" s="4">
        <v>0.30217783297101658</v>
      </c>
      <c r="D7" s="4">
        <v>0.71584506490798194</v>
      </c>
      <c r="E7" s="4">
        <v>0.76658266789685692</v>
      </c>
      <c r="F7" s="4">
        <v>0.33075843180219328</v>
      </c>
      <c r="G7" s="4">
        <v>0.27359723413983977</v>
      </c>
      <c r="H7" s="4">
        <v>83</v>
      </c>
      <c r="I7" s="4">
        <v>2</v>
      </c>
      <c r="J7" s="4">
        <v>35</v>
      </c>
      <c r="K7" s="4">
        <v>4</v>
      </c>
      <c r="L7" s="4">
        <v>52</v>
      </c>
      <c r="M7" s="4">
        <v>3</v>
      </c>
      <c r="N7" s="4">
        <v>0.1</v>
      </c>
      <c r="O7" s="4">
        <v>0.1</v>
      </c>
      <c r="P7" s="4">
        <v>0</v>
      </c>
      <c r="Q7" s="5">
        <v>4.3016158550727898E-4</v>
      </c>
      <c r="R7" s="5">
        <v>4.5315483153040751E-4</v>
      </c>
      <c r="S7" s="4">
        <v>18</v>
      </c>
      <c r="T7" s="4">
        <v>2</v>
      </c>
    </row>
    <row r="8" spans="1:20" x14ac:dyDescent="0.2">
      <c r="A8" s="4">
        <v>0.74104941499688681</v>
      </c>
      <c r="B8" s="4">
        <v>0.74104941499688681</v>
      </c>
      <c r="C8" s="4">
        <v>0.28319192780802638</v>
      </c>
      <c r="D8" s="4">
        <v>0.71909305960220571</v>
      </c>
      <c r="E8" s="4">
        <v>0.76300577039156792</v>
      </c>
      <c r="F8" s="4">
        <v>0.30427417434751991</v>
      </c>
      <c r="G8" s="4">
        <v>0.26210968126853312</v>
      </c>
      <c r="H8" s="4">
        <v>94</v>
      </c>
      <c r="I8" s="4">
        <v>1</v>
      </c>
      <c r="J8" s="4">
        <v>64</v>
      </c>
      <c r="K8" s="4">
        <v>2</v>
      </c>
      <c r="L8" s="4">
        <v>64</v>
      </c>
      <c r="M8" s="4">
        <v>2</v>
      </c>
      <c r="N8" s="4">
        <v>0.1</v>
      </c>
      <c r="O8" s="4">
        <v>0.1</v>
      </c>
      <c r="P8" s="4">
        <v>0</v>
      </c>
      <c r="Q8" s="5">
        <v>1E-3</v>
      </c>
      <c r="R8" s="5">
        <v>1E-3</v>
      </c>
      <c r="S8" s="4">
        <v>22</v>
      </c>
      <c r="T8" s="4">
        <v>1</v>
      </c>
    </row>
    <row r="9" spans="1:20" x14ac:dyDescent="0.2">
      <c r="A9" s="4">
        <v>0.74350673206696616</v>
      </c>
      <c r="B9" s="4">
        <v>0.74350673206696616</v>
      </c>
      <c r="C9" s="4">
        <v>0.29171319997558992</v>
      </c>
      <c r="D9" s="4">
        <v>0.71249296589130184</v>
      </c>
      <c r="E9" s="4">
        <v>0.77452049824263047</v>
      </c>
      <c r="F9" s="4">
        <v>0.32071821962793662</v>
      </c>
      <c r="G9" s="4">
        <v>0.26270818032324322</v>
      </c>
      <c r="H9" s="4">
        <v>72</v>
      </c>
      <c r="I9" s="4">
        <v>2</v>
      </c>
      <c r="J9" s="4">
        <v>63</v>
      </c>
      <c r="K9" s="4">
        <v>3</v>
      </c>
      <c r="L9" s="4">
        <v>57</v>
      </c>
      <c r="M9" s="4">
        <v>3</v>
      </c>
      <c r="N9" s="4">
        <v>0.1</v>
      </c>
      <c r="O9" s="4">
        <v>0.1</v>
      </c>
      <c r="P9" s="4">
        <v>0</v>
      </c>
      <c r="Q9" s="5">
        <v>7.6677234678811806E-4</v>
      </c>
      <c r="R9" s="5">
        <v>6.811780448545715E-4</v>
      </c>
      <c r="S9" s="4">
        <v>29</v>
      </c>
      <c r="T9" s="4">
        <v>3</v>
      </c>
    </row>
    <row r="10" spans="1:20" x14ac:dyDescent="0.2">
      <c r="A10" s="4">
        <v>0.73897090837048296</v>
      </c>
      <c r="B10" s="4">
        <v>0.73897090837048296</v>
      </c>
      <c r="C10" s="4">
        <v>0.29826665480931602</v>
      </c>
      <c r="D10" s="4">
        <v>0.7085589908698654</v>
      </c>
      <c r="E10" s="4">
        <v>0.76938282587110052</v>
      </c>
      <c r="F10" s="4">
        <v>0.33176340103149421</v>
      </c>
      <c r="G10" s="4">
        <v>0.26476990858713778</v>
      </c>
      <c r="H10" s="4">
        <v>82</v>
      </c>
      <c r="I10" s="4">
        <v>2</v>
      </c>
      <c r="J10" s="4">
        <v>33</v>
      </c>
      <c r="K10" s="4">
        <v>4</v>
      </c>
      <c r="L10" s="4">
        <v>46</v>
      </c>
      <c r="M10" s="4">
        <v>2</v>
      </c>
      <c r="N10" s="4">
        <v>0.1</v>
      </c>
      <c r="O10" s="4">
        <v>0.1</v>
      </c>
      <c r="P10" s="4">
        <v>0</v>
      </c>
      <c r="Q10" s="5">
        <v>8.390707021551098E-4</v>
      </c>
      <c r="R10" s="5">
        <v>5.9855369060771569E-4</v>
      </c>
      <c r="S10" s="4">
        <v>31</v>
      </c>
      <c r="T10" s="4">
        <v>2</v>
      </c>
    </row>
    <row r="11" spans="1:20" x14ac:dyDescent="0.2">
      <c r="A11" s="4">
        <v>0.74201634329853794</v>
      </c>
      <c r="B11" s="4">
        <v>0.74201634329853794</v>
      </c>
      <c r="C11" s="4">
        <v>0.29486859745035571</v>
      </c>
      <c r="D11" s="4">
        <v>0.70873807951824352</v>
      </c>
      <c r="E11" s="4">
        <v>0.77529460707883235</v>
      </c>
      <c r="F11" s="4">
        <v>0.33053018003702173</v>
      </c>
      <c r="G11" s="4">
        <v>0.25920701486368969</v>
      </c>
      <c r="H11" s="4">
        <v>70</v>
      </c>
      <c r="I11" s="4">
        <v>2</v>
      </c>
      <c r="J11" s="4">
        <v>56</v>
      </c>
      <c r="K11" s="4">
        <v>3</v>
      </c>
      <c r="L11" s="4">
        <v>60</v>
      </c>
      <c r="M11" s="4">
        <v>3</v>
      </c>
      <c r="N11" s="4">
        <v>0.1</v>
      </c>
      <c r="O11" s="4">
        <v>0.1</v>
      </c>
      <c r="P11" s="4">
        <v>0</v>
      </c>
      <c r="Q11" s="5">
        <v>4.192684988209626E-4</v>
      </c>
      <c r="R11" s="5">
        <v>7.0686185852673119E-4</v>
      </c>
      <c r="S11" s="4">
        <v>28</v>
      </c>
      <c r="T11" s="4">
        <v>2</v>
      </c>
    </row>
    <row r="12" spans="1:20" x14ac:dyDescent="0.2">
      <c r="A12" s="4">
        <v>0.7426089274437695</v>
      </c>
      <c r="B12" s="4">
        <v>0.7426089274437695</v>
      </c>
      <c r="C12" s="4">
        <v>0.28905079180995619</v>
      </c>
      <c r="D12" s="4">
        <v>0.71694283285119342</v>
      </c>
      <c r="E12" s="4">
        <v>0.76827502203634579</v>
      </c>
      <c r="F12" s="4">
        <v>0.31174890138208872</v>
      </c>
      <c r="G12" s="4">
        <v>0.26635268223782382</v>
      </c>
      <c r="H12" s="4">
        <v>119</v>
      </c>
      <c r="I12" s="4">
        <v>2</v>
      </c>
      <c r="J12" s="4">
        <v>37</v>
      </c>
      <c r="K12" s="4">
        <v>3</v>
      </c>
      <c r="L12" s="4">
        <v>58</v>
      </c>
      <c r="M12" s="4">
        <v>3</v>
      </c>
      <c r="N12" s="4">
        <v>0.1</v>
      </c>
      <c r="O12" s="4">
        <v>0.1</v>
      </c>
      <c r="P12" s="4">
        <v>0</v>
      </c>
      <c r="Q12" s="5">
        <v>5.9759282790825311E-4</v>
      </c>
      <c r="R12" s="5">
        <v>3.3725101275178308E-4</v>
      </c>
      <c r="S12" s="4">
        <v>21</v>
      </c>
      <c r="T12" s="4">
        <v>2</v>
      </c>
    </row>
    <row r="13" spans="1:20" x14ac:dyDescent="0.2">
      <c r="A13" s="4">
        <v>0.749176163144472</v>
      </c>
      <c r="B13" s="4">
        <v>0.74917616314447244</v>
      </c>
      <c r="C13" s="4">
        <v>0.28085689305017397</v>
      </c>
      <c r="D13" s="4">
        <v>0.7166195182467332</v>
      </c>
      <c r="E13" s="4">
        <v>0.78173280804221201</v>
      </c>
      <c r="F13" s="4">
        <v>0.31207484578092892</v>
      </c>
      <c r="G13" s="4">
        <v>0.24963894031941891</v>
      </c>
      <c r="H13" s="4">
        <v>71</v>
      </c>
      <c r="I13" s="4">
        <v>1</v>
      </c>
      <c r="J13" s="4">
        <v>60</v>
      </c>
      <c r="K13" s="4">
        <v>2</v>
      </c>
      <c r="L13" s="4">
        <v>64</v>
      </c>
      <c r="M13" s="4">
        <v>3</v>
      </c>
      <c r="N13" s="4">
        <v>0.1</v>
      </c>
      <c r="O13" s="4">
        <v>0.1</v>
      </c>
      <c r="P13" s="4">
        <v>0</v>
      </c>
      <c r="Q13" s="5">
        <v>1E-3</v>
      </c>
      <c r="R13" s="5">
        <v>1E-3</v>
      </c>
      <c r="S13" s="4">
        <v>32</v>
      </c>
      <c r="T13" s="4">
        <v>4</v>
      </c>
    </row>
    <row r="14" spans="1:20" x14ac:dyDescent="0.2">
      <c r="A14" s="4">
        <v>0.74181392927211121</v>
      </c>
      <c r="B14" s="4">
        <v>0.74181392927211121</v>
      </c>
      <c r="C14" s="4">
        <v>0.29954570218920712</v>
      </c>
      <c r="D14" s="4">
        <v>0.71612435787102469</v>
      </c>
      <c r="E14" s="4">
        <v>0.7675035006731975</v>
      </c>
      <c r="F14" s="4">
        <v>0.32671476806203531</v>
      </c>
      <c r="G14" s="4">
        <v>0.27237663631637887</v>
      </c>
      <c r="H14" s="4">
        <v>92</v>
      </c>
      <c r="I14" s="4">
        <v>2</v>
      </c>
      <c r="J14" s="4">
        <v>56</v>
      </c>
      <c r="K14" s="4">
        <v>5</v>
      </c>
      <c r="L14" s="4">
        <v>61</v>
      </c>
      <c r="M14" s="4">
        <v>4</v>
      </c>
      <c r="N14" s="4">
        <v>0.1</v>
      </c>
      <c r="O14" s="4">
        <v>0.1</v>
      </c>
      <c r="P14" s="4">
        <v>0</v>
      </c>
      <c r="Q14" s="5">
        <v>3.1122048422536181E-4</v>
      </c>
      <c r="R14" s="5">
        <v>3.0450852447180978E-4</v>
      </c>
      <c r="S14" s="4">
        <v>24</v>
      </c>
      <c r="T14" s="4">
        <v>2</v>
      </c>
    </row>
    <row r="15" spans="1:20" x14ac:dyDescent="0.2">
      <c r="Q15" s="5"/>
      <c r="R15" s="5"/>
    </row>
    <row r="16" spans="1:20" x14ac:dyDescent="0.2">
      <c r="G16" s="4" t="s">
        <v>20</v>
      </c>
      <c r="H16" s="6">
        <f>ROUND(AVERAGE(H5:H14),0)</f>
        <v>90</v>
      </c>
      <c r="I16" s="4">
        <f t="shared" ref="I16:M16" si="2">ROUND(AVERAGE(I5:I14),0)</f>
        <v>2</v>
      </c>
      <c r="J16" s="4">
        <f t="shared" si="2"/>
        <v>50</v>
      </c>
      <c r="K16" s="4">
        <f t="shared" si="2"/>
        <v>3</v>
      </c>
      <c r="L16" s="4">
        <f t="shared" si="2"/>
        <v>57</v>
      </c>
      <c r="M16" s="4">
        <f t="shared" si="2"/>
        <v>3</v>
      </c>
      <c r="N16" s="4">
        <f t="shared" ref="N16:R16" si="3">AVERAGE(N5:N14)</f>
        <v>9.9999999999999992E-2</v>
      </c>
      <c r="O16" s="4">
        <f t="shared" si="3"/>
        <v>9.9999999999999992E-2</v>
      </c>
      <c r="P16" s="4">
        <f t="shared" si="3"/>
        <v>0</v>
      </c>
      <c r="Q16" s="5">
        <f t="shared" si="3"/>
        <v>6.5322003441044686E-4</v>
      </c>
      <c r="R16" s="5">
        <f t="shared" si="3"/>
        <v>5.9418519488631683E-4</v>
      </c>
      <c r="S16" s="4">
        <f>ROUND(AVERAGE(S5:S14),0)</f>
        <v>25</v>
      </c>
      <c r="T16" s="4">
        <f>ROUND(AVERAGE(T5:T14),0)</f>
        <v>3</v>
      </c>
    </row>
    <row r="17" spans="7:20" x14ac:dyDescent="0.2">
      <c r="G17" s="4" t="s">
        <v>21</v>
      </c>
      <c r="H17" s="7">
        <f>STDEV(H5:H14)</f>
        <v>17.346469381404408</v>
      </c>
      <c r="I17" s="7">
        <f t="shared" ref="I17:T17" si="4">STDEV(I5:I14)</f>
        <v>0.42163702135578407</v>
      </c>
      <c r="J17" s="7">
        <f t="shared" si="4"/>
        <v>12.529520696694229</v>
      </c>
      <c r="K17" s="7">
        <f t="shared" si="4"/>
        <v>0.94868329805051343</v>
      </c>
      <c r="L17" s="7">
        <f t="shared" si="4"/>
        <v>5.6332347131406957</v>
      </c>
      <c r="M17" s="7">
        <f t="shared" si="4"/>
        <v>0.5676462121975473</v>
      </c>
      <c r="Q17" s="5">
        <f t="shared" si="4"/>
        <v>2.4290135723582004E-4</v>
      </c>
      <c r="R17" s="5">
        <f t="shared" si="4"/>
        <v>2.867042541246266E-4</v>
      </c>
      <c r="S17" s="7">
        <f t="shared" si="4"/>
        <v>4.6380072349136272</v>
      </c>
      <c r="T17" s="7">
        <f t="shared" si="4"/>
        <v>1.0749676997731401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WU</cp:lastModifiedBy>
  <dcterms:created xsi:type="dcterms:W3CDTF">2023-11-16T17:24:13Z</dcterms:created>
  <dcterms:modified xsi:type="dcterms:W3CDTF">2023-11-17T14:20:46Z</dcterms:modified>
</cp:coreProperties>
</file>